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slamUmar\"/>
    </mc:Choice>
  </mc:AlternateContent>
  <bookViews>
    <workbookView xWindow="4335" yWindow="495" windowWidth="24465" windowHeight="16260"/>
  </bookViews>
  <sheets>
    <sheet name="Arrivi" sheetId="1" r:id="rId1"/>
  </sheets>
  <calcPr calcId="162913"/>
</workbook>
</file>

<file path=xl/calcChain.xml><?xml version="1.0" encoding="utf-8"?>
<calcChain xmlns="http://schemas.openxmlformats.org/spreadsheetml/2006/main">
  <c r="F5" i="1" l="1"/>
  <c r="H5" i="1"/>
  <c r="F6" i="1"/>
  <c r="H6" i="1"/>
  <c r="F7" i="1"/>
  <c r="H7" i="1"/>
  <c r="F8" i="1"/>
  <c r="H8" i="1"/>
  <c r="F9" i="1"/>
  <c r="H9" i="1"/>
  <c r="F10" i="1"/>
  <c r="H10" i="1"/>
  <c r="F11" i="1"/>
  <c r="H11" i="1"/>
  <c r="F12" i="1"/>
  <c r="H12" i="1"/>
  <c r="F13" i="1"/>
  <c r="H13" i="1"/>
  <c r="F14" i="1"/>
  <c r="H14" i="1"/>
  <c r="F15" i="1"/>
  <c r="H15" i="1"/>
  <c r="F16" i="1"/>
  <c r="H16" i="1"/>
  <c r="F17" i="1"/>
  <c r="H17" i="1"/>
  <c r="F18" i="1"/>
  <c r="H18" i="1"/>
  <c r="F19" i="1"/>
  <c r="H19" i="1"/>
  <c r="H4" i="1"/>
  <c r="F4" i="1" l="1"/>
</calcChain>
</file>

<file path=xl/sharedStrings.xml><?xml version="1.0" encoding="utf-8"?>
<sst xmlns="http://schemas.openxmlformats.org/spreadsheetml/2006/main" count="45" uniqueCount="41">
  <si>
    <t>Orario</t>
  </si>
  <si>
    <t>Treno</t>
  </si>
  <si>
    <t>Binario</t>
  </si>
  <si>
    <t>IC123</t>
  </si>
  <si>
    <t>RE222</t>
  </si>
  <si>
    <t>IC789</t>
  </si>
  <si>
    <t>RE456</t>
  </si>
  <si>
    <t>IC321</t>
  </si>
  <si>
    <t>RE654</t>
  </si>
  <si>
    <t>IC567</t>
  </si>
  <si>
    <t>RE101</t>
  </si>
  <si>
    <t>IC909</t>
  </si>
  <si>
    <t>RE343</t>
  </si>
  <si>
    <t>IC808</t>
  </si>
  <si>
    <t>RE565</t>
  </si>
  <si>
    <t>IC404</t>
  </si>
  <si>
    <t>RE888</t>
  </si>
  <si>
    <t>IC707</t>
  </si>
  <si>
    <t>RE232</t>
  </si>
  <si>
    <t>Milano</t>
  </si>
  <si>
    <t>Torino</t>
  </si>
  <si>
    <t>Firenze</t>
  </si>
  <si>
    <t>Napoli</t>
  </si>
  <si>
    <t>Venezia</t>
  </si>
  <si>
    <t>Bologna</t>
  </si>
  <si>
    <t>Roma</t>
  </si>
  <si>
    <t>Trento</t>
  </si>
  <si>
    <t>Perugia</t>
  </si>
  <si>
    <t>Ancona</t>
  </si>
  <si>
    <t>Cagliari</t>
  </si>
  <si>
    <t>Trieste</t>
  </si>
  <si>
    <t>Destinazione</t>
  </si>
  <si>
    <t>Verona</t>
  </si>
  <si>
    <t>Arrivo</t>
  </si>
  <si>
    <t>ISTRUZIONI</t>
  </si>
  <si>
    <t>1) Aggiungere due righe e due colonne sopra e a sinistra</t>
  </si>
  <si>
    <t>2) Impostare tutte le colonne a larghezza 10</t>
  </si>
  <si>
    <t>3) Riquadrare la tabella con bordo spesso</t>
  </si>
  <si>
    <t>PARTENZE STAZIONE DI BUSTO ARSIZIO CENTRALE</t>
  </si>
  <si>
    <t>Durata</t>
  </si>
  <si>
    <t>Ritardo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</si>
</sst>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5" formatCode="h:mm;@"/>
    <numFmt numFmtId="167" formatCode="hh:mm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(Corpo)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Fill="1" applyBorder="1"/>
    <xf numFmtId="0" fontId="0" fillId="0" borderId="4" xfId="0" applyFill="1" applyBorder="1"/>
    <xf numFmtId="0" fontId="0" fillId="0" borderId="0" xfId="0" applyFill="1"/>
    <xf numFmtId="0" fontId="1" fillId="0" borderId="0" xfId="0" applyFont="1" applyFill="1" applyBorder="1" applyAlignment="1">
      <alignment horizontal="center" vertical="top"/>
    </xf>
    <xf numFmtId="165" fontId="0" fillId="0" borderId="0" xfId="1" applyNumberFormat="1" applyFont="1" applyFill="1" applyBorder="1"/>
    <xf numFmtId="165" fontId="0" fillId="0" borderId="4" xfId="1" applyNumberFormat="1" applyFont="1" applyFill="1" applyBorder="1"/>
    <xf numFmtId="0" fontId="0" fillId="0" borderId="0" xfId="0" quotePrefix="1" applyFill="1"/>
    <xf numFmtId="167" fontId="0" fillId="0" borderId="1" xfId="1" applyNumberFormat="1" applyFont="1" applyFill="1" applyBorder="1" applyAlignment="1">
      <alignment horizontal="left"/>
    </xf>
    <xf numFmtId="167" fontId="0" fillId="0" borderId="3" xfId="1" applyNumberFormat="1" applyFont="1" applyFill="1" applyBorder="1" applyAlignment="1">
      <alignment horizontal="left"/>
    </xf>
    <xf numFmtId="165" fontId="0" fillId="0" borderId="0" xfId="0" applyNumberFormat="1" applyFill="1" applyBorder="1"/>
    <xf numFmtId="165" fontId="0" fillId="0" borderId="4" xfId="0" applyNumberFormat="1" applyFill="1" applyBorder="1"/>
    <xf numFmtId="20" fontId="0" fillId="0" borderId="2" xfId="0" applyNumberFormat="1" applyFill="1" applyBorder="1"/>
    <xf numFmtId="20" fontId="0" fillId="0" borderId="5" xfId="0" applyNumberFormat="1" applyFill="1" applyBorder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2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tabSelected="1" zoomScale="80" zoomScaleNormal="80" workbookViewId="0">
      <selection activeCell="O17" sqref="O17"/>
    </sheetView>
  </sheetViews>
  <sheetFormatPr defaultColWidth="8.85546875" defaultRowHeight="15"/>
  <cols>
    <col min="1" max="1" width="8.85546875" customWidth="1"/>
    <col min="2" max="9" width="15.7109375" customWidth="1"/>
  </cols>
  <sheetData>
    <row r="1" spans="1:35" ht="15.75" thickBo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>
      <c r="A2" s="3"/>
      <c r="B2" s="14" t="s">
        <v>38</v>
      </c>
      <c r="C2" s="15"/>
      <c r="D2" s="15"/>
      <c r="E2" s="15"/>
      <c r="F2" s="15"/>
      <c r="G2" s="15"/>
      <c r="H2" s="15"/>
      <c r="I2" s="16"/>
      <c r="J2" s="3"/>
      <c r="K2" s="21" t="s">
        <v>34</v>
      </c>
      <c r="L2" s="22"/>
      <c r="M2" s="22"/>
      <c r="N2" s="22"/>
      <c r="O2" s="22"/>
      <c r="P2" s="22"/>
      <c r="Q2" s="2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>
      <c r="A3" s="3"/>
      <c r="B3" s="17" t="s">
        <v>0</v>
      </c>
      <c r="C3" s="18" t="s">
        <v>1</v>
      </c>
      <c r="D3" s="18" t="s">
        <v>31</v>
      </c>
      <c r="E3" s="18" t="s">
        <v>33</v>
      </c>
      <c r="F3" s="18" t="s">
        <v>39</v>
      </c>
      <c r="G3" s="18" t="s">
        <v>2</v>
      </c>
      <c r="H3" s="18" t="s">
        <v>39</v>
      </c>
      <c r="I3" s="19" t="s">
        <v>40</v>
      </c>
      <c r="J3" s="4"/>
      <c r="K3" s="24"/>
      <c r="L3" s="25"/>
      <c r="M3" s="25"/>
      <c r="N3" s="25"/>
      <c r="O3" s="25"/>
      <c r="P3" s="25"/>
      <c r="Q3" s="26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>
      <c r="A4" s="3"/>
      <c r="B4" s="8">
        <v>0.33333333333333331</v>
      </c>
      <c r="C4" s="1" t="s">
        <v>3</v>
      </c>
      <c r="D4" s="1" t="s">
        <v>23</v>
      </c>
      <c r="E4" s="5">
        <v>0.41666666666666669</v>
      </c>
      <c r="F4" s="5">
        <f t="shared" ref="F4:F19" si="0">E4-B4</f>
        <v>8.333333333333337E-2</v>
      </c>
      <c r="G4" s="1">
        <v>1</v>
      </c>
      <c r="H4" s="10">
        <f>E4-B4</f>
        <v>8.333333333333337E-2</v>
      </c>
      <c r="I4" s="12">
        <v>0</v>
      </c>
      <c r="J4" s="3"/>
      <c r="K4" s="27" t="s">
        <v>35</v>
      </c>
      <c r="L4" s="28"/>
      <c r="M4" s="28"/>
      <c r="N4" s="28"/>
      <c r="O4" s="28"/>
      <c r="P4" s="28"/>
      <c r="Q4" s="29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>
      <c r="A5" s="3"/>
      <c r="B5" s="8">
        <v>0.34375</v>
      </c>
      <c r="C5" s="1" t="s">
        <v>4</v>
      </c>
      <c r="D5" s="1" t="s">
        <v>24</v>
      </c>
      <c r="E5" s="5">
        <v>0.45833333333333331</v>
      </c>
      <c r="F5" s="5">
        <f t="shared" si="0"/>
        <v>0.11458333333333331</v>
      </c>
      <c r="G5" s="1">
        <v>2</v>
      </c>
      <c r="H5" s="10">
        <f t="shared" ref="H5:H19" si="1">E5-B5</f>
        <v>0.11458333333333331</v>
      </c>
      <c r="I5" s="12">
        <v>1.3888888888888888E-2</v>
      </c>
      <c r="J5" s="3"/>
      <c r="K5" s="24"/>
      <c r="L5" s="25"/>
      <c r="M5" s="25"/>
      <c r="N5" s="25"/>
      <c r="O5" s="25"/>
      <c r="P5" s="25"/>
      <c r="Q5" s="2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>
      <c r="A6" s="3"/>
      <c r="B6" s="8">
        <v>0.35416666666666702</v>
      </c>
      <c r="C6" s="1" t="s">
        <v>5</v>
      </c>
      <c r="D6" s="1" t="s">
        <v>25</v>
      </c>
      <c r="E6" s="5">
        <v>0.47916666666666669</v>
      </c>
      <c r="F6" s="5">
        <f t="shared" si="0"/>
        <v>0.12499999999999967</v>
      </c>
      <c r="G6" s="1">
        <v>3</v>
      </c>
      <c r="H6" s="10">
        <f t="shared" si="1"/>
        <v>0.12499999999999967</v>
      </c>
      <c r="I6" s="12">
        <v>1.0416666666666666E-2</v>
      </c>
      <c r="J6" s="3"/>
      <c r="K6" s="27" t="s">
        <v>36</v>
      </c>
      <c r="L6" s="28"/>
      <c r="M6" s="28"/>
      <c r="N6" s="28"/>
      <c r="O6" s="28"/>
      <c r="P6" s="28"/>
      <c r="Q6" s="2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>
      <c r="A7" s="3"/>
      <c r="B7" s="8">
        <v>0.36458333333333298</v>
      </c>
      <c r="C7" s="1" t="s">
        <v>6</v>
      </c>
      <c r="D7" s="1" t="s">
        <v>19</v>
      </c>
      <c r="E7" s="5">
        <v>14</v>
      </c>
      <c r="F7" s="5">
        <f t="shared" si="0"/>
        <v>13.635416666666668</v>
      </c>
      <c r="G7" s="1">
        <v>4</v>
      </c>
      <c r="H7" s="10">
        <f t="shared" si="1"/>
        <v>13.635416666666668</v>
      </c>
      <c r="I7" s="12">
        <v>6.2499999999999995E-3</v>
      </c>
      <c r="J7" s="3"/>
      <c r="K7" s="24"/>
      <c r="L7" s="25"/>
      <c r="M7" s="25"/>
      <c r="N7" s="25"/>
      <c r="O7" s="25"/>
      <c r="P7" s="25"/>
      <c r="Q7" s="26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>
      <c r="A8" s="3"/>
      <c r="B8" s="8">
        <v>0.375</v>
      </c>
      <c r="C8" s="1" t="s">
        <v>7</v>
      </c>
      <c r="D8" s="1" t="s">
        <v>22</v>
      </c>
      <c r="E8" s="5">
        <v>14</v>
      </c>
      <c r="F8" s="5">
        <f t="shared" si="0"/>
        <v>13.625</v>
      </c>
      <c r="G8" s="1">
        <v>5</v>
      </c>
      <c r="H8" s="10">
        <f t="shared" si="1"/>
        <v>13.625</v>
      </c>
      <c r="I8" s="12">
        <v>3.472222222222222E-3</v>
      </c>
      <c r="J8" s="3"/>
      <c r="K8" s="27" t="s">
        <v>37</v>
      </c>
      <c r="L8" s="28"/>
      <c r="M8" s="28"/>
      <c r="N8" s="28"/>
      <c r="O8" s="28"/>
      <c r="P8" s="28"/>
      <c r="Q8" s="29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5.75" thickBot="1">
      <c r="A9" s="3"/>
      <c r="B9" s="8">
        <v>0.38541666666666702</v>
      </c>
      <c r="C9" s="1" t="s">
        <v>8</v>
      </c>
      <c r="D9" s="1" t="s">
        <v>21</v>
      </c>
      <c r="E9" s="5">
        <v>0.4375</v>
      </c>
      <c r="F9" s="5">
        <f t="shared" si="0"/>
        <v>5.2083333333332982E-2</v>
      </c>
      <c r="G9" s="1">
        <v>1</v>
      </c>
      <c r="H9" s="10">
        <f t="shared" si="1"/>
        <v>5.2083333333332982E-2</v>
      </c>
      <c r="I9" s="12">
        <v>3.4722222222222224E-2</v>
      </c>
      <c r="J9" s="3"/>
      <c r="K9" s="30"/>
      <c r="L9" s="31"/>
      <c r="M9" s="31"/>
      <c r="N9" s="31"/>
      <c r="O9" s="31"/>
      <c r="P9" s="31"/>
      <c r="Q9" s="32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>
      <c r="A10" s="3"/>
      <c r="B10" s="8">
        <v>0.39583333333333298</v>
      </c>
      <c r="C10" s="1" t="s">
        <v>9</v>
      </c>
      <c r="D10" s="1" t="s">
        <v>20</v>
      </c>
      <c r="E10" s="5">
        <v>0.60416666666666663</v>
      </c>
      <c r="F10" s="5">
        <f t="shared" si="0"/>
        <v>0.20833333333333365</v>
      </c>
      <c r="G10" s="1">
        <v>2</v>
      </c>
      <c r="H10" s="10">
        <f t="shared" si="1"/>
        <v>0.20833333333333365</v>
      </c>
      <c r="I10" s="12">
        <v>4.0972222222222222E-2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>
      <c r="A11" s="3"/>
      <c r="B11" s="8">
        <v>0.40625</v>
      </c>
      <c r="C11" s="1" t="s">
        <v>10</v>
      </c>
      <c r="D11" s="1" t="s">
        <v>24</v>
      </c>
      <c r="E11" s="5">
        <v>0.5</v>
      </c>
      <c r="F11" s="5">
        <f t="shared" si="0"/>
        <v>9.375E-2</v>
      </c>
      <c r="G11" s="1">
        <v>3</v>
      </c>
      <c r="H11" s="10">
        <f t="shared" si="1"/>
        <v>9.375E-2</v>
      </c>
      <c r="I11" s="12">
        <v>0.4236111111111111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>
      <c r="A12" s="3"/>
      <c r="B12" s="8">
        <v>0.41666666666666702</v>
      </c>
      <c r="C12" s="1" t="s">
        <v>11</v>
      </c>
      <c r="D12" s="1" t="s">
        <v>27</v>
      </c>
      <c r="E12" s="5">
        <v>0.52083333333333304</v>
      </c>
      <c r="F12" s="5">
        <f t="shared" si="0"/>
        <v>0.10416666666666602</v>
      </c>
      <c r="G12" s="1">
        <v>4</v>
      </c>
      <c r="H12" s="10">
        <f t="shared" si="1"/>
        <v>0.10416666666666602</v>
      </c>
      <c r="I12" s="12">
        <v>2.0833333333333332E-2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>
      <c r="A13" s="3"/>
      <c r="B13" s="8">
        <v>0.42708333333333298</v>
      </c>
      <c r="C13" s="1" t="s">
        <v>12</v>
      </c>
      <c r="D13" s="1" t="s">
        <v>26</v>
      </c>
      <c r="E13" s="5">
        <v>14</v>
      </c>
      <c r="F13" s="5">
        <f t="shared" si="0"/>
        <v>13.572916666666668</v>
      </c>
      <c r="G13" s="1">
        <v>5</v>
      </c>
      <c r="H13" s="10">
        <f t="shared" si="1"/>
        <v>13.572916666666668</v>
      </c>
      <c r="I13" s="12">
        <v>1.5972222222222224E-2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>
      <c r="A14" s="3"/>
      <c r="B14" s="8">
        <v>0.4375</v>
      </c>
      <c r="C14" s="1" t="s">
        <v>13</v>
      </c>
      <c r="D14" s="1" t="s">
        <v>28</v>
      </c>
      <c r="E14" s="5">
        <v>14</v>
      </c>
      <c r="F14" s="5">
        <f t="shared" si="0"/>
        <v>13.5625</v>
      </c>
      <c r="G14" s="1">
        <v>1</v>
      </c>
      <c r="H14" s="10">
        <f t="shared" si="1"/>
        <v>13.5625</v>
      </c>
      <c r="I14" s="12">
        <v>3.7499999999999999E-2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>
      <c r="A15" s="3"/>
      <c r="B15" s="8">
        <v>0.44791666666666702</v>
      </c>
      <c r="C15" s="1" t="s">
        <v>14</v>
      </c>
      <c r="D15" s="1" t="s">
        <v>29</v>
      </c>
      <c r="E15" s="5">
        <v>0.77083333333333304</v>
      </c>
      <c r="F15" s="5">
        <f t="shared" si="0"/>
        <v>0.32291666666666602</v>
      </c>
      <c r="G15" s="1">
        <v>2</v>
      </c>
      <c r="H15" s="10">
        <f t="shared" si="1"/>
        <v>0.32291666666666602</v>
      </c>
      <c r="I15" s="12">
        <v>1.3194444444444444E-2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>
      <c r="A16" s="3"/>
      <c r="B16" s="8">
        <v>0.45833333333333298</v>
      </c>
      <c r="C16" s="1" t="s">
        <v>15</v>
      </c>
      <c r="D16" s="1" t="s">
        <v>30</v>
      </c>
      <c r="E16" s="5">
        <v>0.9375</v>
      </c>
      <c r="F16" s="5">
        <f t="shared" si="0"/>
        <v>0.47916666666666702</v>
      </c>
      <c r="G16" s="1">
        <v>3</v>
      </c>
      <c r="H16" s="10">
        <f t="shared" si="1"/>
        <v>0.47916666666666702</v>
      </c>
      <c r="I16" s="12">
        <v>1.4583333333333332E-2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3"/>
      <c r="B17" s="8">
        <v>0.46875</v>
      </c>
      <c r="C17" s="1" t="s">
        <v>16</v>
      </c>
      <c r="D17" s="1" t="s">
        <v>19</v>
      </c>
      <c r="E17" s="5">
        <v>0.54166666666666696</v>
      </c>
      <c r="F17" s="5">
        <f t="shared" si="0"/>
        <v>7.2916666666666963E-2</v>
      </c>
      <c r="G17" s="1">
        <v>4</v>
      </c>
      <c r="H17" s="10">
        <f t="shared" si="1"/>
        <v>7.2916666666666963E-2</v>
      </c>
      <c r="I17" s="12">
        <v>2.1527777777777781E-2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>
      <c r="A18" s="3"/>
      <c r="B18" s="8">
        <v>0.47916666666666702</v>
      </c>
      <c r="C18" s="1" t="s">
        <v>17</v>
      </c>
      <c r="D18" s="1" t="s">
        <v>25</v>
      </c>
      <c r="E18" s="5">
        <v>0.5625</v>
      </c>
      <c r="F18" s="5">
        <f t="shared" si="0"/>
        <v>8.3333333333332982E-2</v>
      </c>
      <c r="G18" s="1">
        <v>5</v>
      </c>
      <c r="H18" s="10">
        <f t="shared" si="1"/>
        <v>8.3333333333332982E-2</v>
      </c>
      <c r="I18" s="12">
        <v>6.9444444444444447E-4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5.75" thickBot="1">
      <c r="A19" s="3"/>
      <c r="B19" s="9">
        <v>0.48958333333333298</v>
      </c>
      <c r="C19" s="2" t="s">
        <v>18</v>
      </c>
      <c r="D19" s="2" t="s">
        <v>32</v>
      </c>
      <c r="E19" s="6">
        <v>14</v>
      </c>
      <c r="F19" s="6">
        <f t="shared" si="0"/>
        <v>13.510416666666668</v>
      </c>
      <c r="G19" s="2">
        <v>1</v>
      </c>
      <c r="H19" s="11">
        <f t="shared" si="1"/>
        <v>13.510416666666668</v>
      </c>
      <c r="I19" s="13">
        <v>2.0833333333333333E-3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>
      <c r="A24" s="3"/>
      <c r="B24" s="3"/>
      <c r="C24" s="3"/>
      <c r="D24" s="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>
      <c r="A25" s="3"/>
      <c r="B25" s="20"/>
      <c r="C25" s="20"/>
      <c r="D25" s="20"/>
      <c r="E25" s="20"/>
      <c r="F25" s="20"/>
      <c r="G25" s="1"/>
      <c r="H25" s="1"/>
      <c r="I25" s="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>
      <c r="A26" s="3"/>
      <c r="B26" s="20"/>
      <c r="C26" s="20"/>
      <c r="D26" s="20"/>
      <c r="E26" s="20"/>
      <c r="F26" s="20"/>
      <c r="G26" s="1"/>
      <c r="H26" s="1"/>
      <c r="I26" s="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>
      <c r="A27" s="3"/>
      <c r="B27" s="20"/>
      <c r="C27" s="20"/>
      <c r="D27" s="20"/>
      <c r="E27" s="20"/>
      <c r="F27" s="20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>
      <c r="A45" s="3"/>
      <c r="B45" s="3"/>
      <c r="C45" s="3"/>
      <c r="D45" s="3"/>
      <c r="E45" s="3"/>
      <c r="F45" s="3"/>
      <c r="G45" s="3"/>
      <c r="H45" s="3"/>
      <c r="I45" s="3"/>
      <c r="J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>
      <c r="A46" s="3"/>
      <c r="B46" s="3"/>
      <c r="C46" s="3"/>
      <c r="D46" s="3"/>
      <c r="E46" s="3"/>
      <c r="F46" s="3"/>
      <c r="G46" s="3"/>
      <c r="H46" s="3"/>
      <c r="I46" s="3"/>
      <c r="J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>
      <c r="A47" s="3"/>
      <c r="B47" s="3"/>
      <c r="C47" s="3"/>
      <c r="D47" s="3"/>
      <c r="E47" s="3"/>
      <c r="F47" s="3"/>
      <c r="G47" s="3"/>
      <c r="H47" s="3"/>
      <c r="I47" s="3"/>
      <c r="J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>
      <c r="A48" s="3"/>
      <c r="B48" s="3"/>
      <c r="C48" s="3"/>
      <c r="D48" s="3"/>
      <c r="E48" s="3"/>
      <c r="F48" s="3"/>
      <c r="G48" s="3"/>
      <c r="H48" s="3"/>
      <c r="I48" s="3"/>
      <c r="J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>
      <c r="A49" s="3"/>
      <c r="B49" s="3"/>
      <c r="C49" s="3"/>
      <c r="D49" s="3"/>
      <c r="E49" s="3"/>
      <c r="F49" s="3"/>
      <c r="G49" s="3"/>
      <c r="H49" s="3"/>
      <c r="I49" s="3"/>
      <c r="J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>
      <c r="A50" s="3"/>
      <c r="B50" s="3"/>
      <c r="C50" s="3"/>
      <c r="D50" s="3"/>
      <c r="E50" s="3"/>
      <c r="F50" s="3"/>
      <c r="G50" s="3"/>
      <c r="H50" s="3"/>
      <c r="I50" s="3"/>
      <c r="J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</sheetData>
  <sortState ref="B8:G22">
    <sortCondition ref="B8:B22"/>
  </sortState>
  <mergeCells count="9">
    <mergeCell ref="B2:I2"/>
    <mergeCell ref="K8:Q8"/>
    <mergeCell ref="K9:Q9"/>
    <mergeCell ref="K3:Q3"/>
    <mergeCell ref="K2:Q2"/>
    <mergeCell ref="K4:Q4"/>
    <mergeCell ref="K5:Q5"/>
    <mergeCell ref="K6:Q6"/>
    <mergeCell ref="K7:Q7"/>
  </mergeCells>
  <conditionalFormatting sqref="I4:I19">
    <cfRule type="colorScale" priority="1">
      <colorScale>
        <cfvo type="num" val="$I$7"/>
        <cfvo type="num" val="$I$12"/>
        <cfvo type="num" val="$I$10"/>
        <color rgb="FF00B050"/>
        <color rgb="FF0070C0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Arrivi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1O</cp:lastModifiedBy>
  <dcterms:created xsi:type="dcterms:W3CDTF">2025-01-21T18:12:46Z</dcterms:created>
  <dcterms:modified xsi:type="dcterms:W3CDTF">2025-01-29T09:41:56Z</dcterms:modified>
</cp:coreProperties>
</file>